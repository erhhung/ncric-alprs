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hungy/dev/maiveric/infra/prod/docs/"/>
    </mc:Choice>
  </mc:AlternateContent>
  <xr:revisionPtr revIDLastSave="0" documentId="13_ncr:1_{83E52990-1DF9-F34C-A628-26DF82EBFE68}" xr6:coauthVersionLast="47" xr6:coauthVersionMax="47" xr10:uidLastSave="{00000000-0000-0000-0000-000000000000}"/>
  <bookViews>
    <workbookView xWindow="0" yWindow="760" windowWidth="34560" windowHeight="21580" xr2:uid="{0800BFA2-2883-7B4D-AE68-E50C4E320D37}"/>
  </bookViews>
  <sheets>
    <sheet name="H2 2023" sheetId="11" r:id="rId1"/>
    <sheet name="New PO for 2023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1" l="1"/>
  <c r="M15" i="12"/>
  <c r="M14" i="12"/>
  <c r="M13" i="12"/>
  <c r="E11" i="12"/>
  <c r="E17" i="12" s="1"/>
  <c r="D11" i="12"/>
  <c r="M10" i="12"/>
  <c r="C10" i="12"/>
  <c r="C11" i="12" s="1"/>
  <c r="C17" i="12" s="1"/>
  <c r="F9" i="12"/>
  <c r="F11" i="12" s="1"/>
  <c r="F17" i="12" s="1"/>
  <c r="M7" i="12"/>
  <c r="G9" i="12" l="1"/>
  <c r="D17" i="12"/>
  <c r="D18" i="12" s="1"/>
  <c r="E18" i="12" s="1"/>
  <c r="F18" i="12" s="1"/>
  <c r="G11" i="12" l="1"/>
  <c r="H9" i="12"/>
  <c r="G17" i="12" l="1"/>
  <c r="G18" i="12" s="1"/>
  <c r="H11" i="12"/>
  <c r="H17" i="12" s="1"/>
  <c r="I9" i="12"/>
  <c r="I11" i="12" l="1"/>
  <c r="I17" i="12" s="1"/>
  <c r="J9" i="12"/>
  <c r="H18" i="12"/>
  <c r="I18" i="12" s="1"/>
  <c r="J11" i="12" l="1"/>
  <c r="K9" i="12"/>
  <c r="K11" i="12" s="1"/>
  <c r="K17" i="12" s="1"/>
  <c r="M9" i="12"/>
  <c r="J17" i="12" l="1"/>
  <c r="J18" i="12" s="1"/>
  <c r="K18" i="12" s="1"/>
  <c r="M11" i="12"/>
  <c r="M17" i="12" s="1"/>
</calcChain>
</file>

<file path=xl/sharedStrings.xml><?xml version="1.0" encoding="utf-8"?>
<sst xmlns="http://schemas.openxmlformats.org/spreadsheetml/2006/main" count="327" uniqueCount="128">
  <si>
    <t>Fremont PD</t>
  </si>
  <si>
    <t>Daly City PD</t>
  </si>
  <si>
    <t>San Mateo VTTF</t>
  </si>
  <si>
    <t>Menlo Park PD</t>
  </si>
  <si>
    <t>San Francisco PD</t>
  </si>
  <si>
    <t>San Leandro PD</t>
  </si>
  <si>
    <t>Alameda County Sheriff</t>
  </si>
  <si>
    <t>Bay Area Rapid Transit</t>
  </si>
  <si>
    <t>Brisbane PD</t>
  </si>
  <si>
    <t>Campbell PD</t>
  </si>
  <si>
    <t>Central Marin Police Authority</t>
  </si>
  <si>
    <t>Ceres PD</t>
  </si>
  <si>
    <t>Chico PD</t>
  </si>
  <si>
    <t>CHP</t>
  </si>
  <si>
    <t>GGB Vista Point</t>
  </si>
  <si>
    <t>HIDTA</t>
  </si>
  <si>
    <t>HPD</t>
  </si>
  <si>
    <t>Humboldt County</t>
  </si>
  <si>
    <t>Los Altos PD</t>
  </si>
  <si>
    <t>Manual Entries</t>
  </si>
  <si>
    <t>Marin CC</t>
  </si>
  <si>
    <t>Modesto PD</t>
  </si>
  <si>
    <t>Napa PD</t>
  </si>
  <si>
    <t>Newark PD</t>
  </si>
  <si>
    <t>NPD</t>
  </si>
  <si>
    <t>Palo Alto PD</t>
  </si>
  <si>
    <t>Rio Vista PD</t>
  </si>
  <si>
    <t>Rocklin PD</t>
  </si>
  <si>
    <t>SFO Airport Police</t>
  </si>
  <si>
    <t>Shasta County Sheriff</t>
  </si>
  <si>
    <t>South San Francisco PD</t>
  </si>
  <si>
    <t>Suisun PD</t>
  </si>
  <si>
    <t>Sunnyvale DPS</t>
  </si>
  <si>
    <t>Sunnyvale PD</t>
  </si>
  <si>
    <t>V5Sys</t>
  </si>
  <si>
    <t>Vacaville PD</t>
  </si>
  <si>
    <t>Yosemite National Park</t>
  </si>
  <si>
    <t xml:space="preserve">NCRIC </t>
  </si>
  <si>
    <t>Yes</t>
  </si>
  <si>
    <t>No</t>
  </si>
  <si>
    <t xml:space="preserve">Anderson City PD </t>
  </si>
  <si>
    <t xml:space="preserve">Benicia PD </t>
  </si>
  <si>
    <t xml:space="preserve">Dixon PD </t>
  </si>
  <si>
    <t xml:space="preserve">Fairfield PD </t>
  </si>
  <si>
    <t xml:space="preserve">Livermore PD </t>
  </si>
  <si>
    <t xml:space="preserve">Millbrae PD </t>
  </si>
  <si>
    <t xml:space="preserve">Morgan Hill PD </t>
  </si>
  <si>
    <t xml:space="preserve">Piedmont PD </t>
  </si>
  <si>
    <t xml:space="preserve">Salinas PD </t>
  </si>
  <si>
    <t xml:space="preserve">Santa Clara PD </t>
  </si>
  <si>
    <t xml:space="preserve">Atherton PD </t>
  </si>
  <si>
    <t xml:space="preserve">Beverly Hills PD </t>
  </si>
  <si>
    <t xml:space="preserve">Colma PD </t>
  </si>
  <si>
    <t xml:space="preserve">Danville PD </t>
  </si>
  <si>
    <t xml:space="preserve">Gilroy PD </t>
  </si>
  <si>
    <t xml:space="preserve">Hayward PD </t>
  </si>
  <si>
    <t xml:space="preserve">Hercules PD </t>
  </si>
  <si>
    <t xml:space="preserve">Hillsborough PD </t>
  </si>
  <si>
    <t>Kaiser Permanente - Vallejo</t>
  </si>
  <si>
    <t xml:space="preserve">Novato PD </t>
  </si>
  <si>
    <t xml:space="preserve">Oakley PD </t>
  </si>
  <si>
    <t xml:space="preserve">Orinda PD </t>
  </si>
  <si>
    <t xml:space="preserve">Pleasanton PD </t>
  </si>
  <si>
    <t xml:space="preserve">San Bruno PD </t>
  </si>
  <si>
    <t xml:space="preserve">San Joaquin County SO </t>
  </si>
  <si>
    <t xml:space="preserve">San Mateo PD </t>
  </si>
  <si>
    <t xml:space="preserve">San Mateo County SO </t>
  </si>
  <si>
    <t xml:space="preserve">San Ramon PD </t>
  </si>
  <si>
    <t xml:space="preserve">Vallejo PD </t>
  </si>
  <si>
    <t>Vallejo PD Flex</t>
  </si>
  <si>
    <t>Solano County Sheriff</t>
  </si>
  <si>
    <t>Milpitas PD</t>
  </si>
  <si>
    <t>Burlingame PD</t>
  </si>
  <si>
    <t>Tracy PD</t>
  </si>
  <si>
    <t>Lakeport PD</t>
  </si>
  <si>
    <t>Presidio Trust PD</t>
  </si>
  <si>
    <t>Flock Agencies (Existing)</t>
  </si>
  <si>
    <t>Neology Agencies (Existing)</t>
  </si>
  <si>
    <t>Neology Agencies (Existing Under Separate Push)</t>
  </si>
  <si>
    <t>Agencies to be Supported Under NCRIC P.O. #2</t>
  </si>
  <si>
    <r>
      <rPr>
        <b/>
        <sz val="6"/>
        <color theme="1"/>
        <rFont val="Arial"/>
        <family val="2"/>
      </rPr>
      <t>Already on UI</t>
    </r>
    <r>
      <rPr>
        <sz val="6"/>
        <color theme="1"/>
        <rFont val="Arial"/>
        <family val="2"/>
      </rPr>
      <t xml:space="preserve"> (Department Pull Down Menu)</t>
    </r>
  </si>
  <si>
    <t>Santa Clara County SO (SCSO)</t>
  </si>
  <si>
    <t>New Index Limit - Rule 1:</t>
  </si>
  <si>
    <t>New Index Limit - Rule 2:</t>
  </si>
  <si>
    <t>Number of Agencies to be Supported:</t>
  </si>
  <si>
    <t>Estimated Number of Cameras as of Mid-2022</t>
  </si>
  <si>
    <t>Unknown</t>
  </si>
  <si>
    <t>Limits Rationale:</t>
  </si>
  <si>
    <t>Ingestion needs to be capped given:</t>
  </si>
  <si>
    <t>May 17th, 2023</t>
  </si>
  <si>
    <t>Confidential Information</t>
  </si>
  <si>
    <t>AstroMetrics Service for NCRIC</t>
  </si>
  <si>
    <t>i) The number of Flock cameras in Northern California continues to increase rapidly,</t>
  </si>
  <si>
    <t>ii) Rundeck and Flapper services under current architecture can't reliably process more tha 1.3 million records per day,</t>
  </si>
  <si>
    <t>v) Legacy data schema is not documented and partial data purging is not feasible under current NCRIC budget.</t>
  </si>
  <si>
    <t>vi) A complete system redesign, already proposed, is also not feasible under current NCRIC budget.</t>
  </si>
  <si>
    <t>Figure Pending System Audit</t>
  </si>
  <si>
    <t>Flock Agencies To Be Added on June 2023</t>
  </si>
  <si>
    <t>NCRIC's AstroMetrics</t>
  </si>
  <si>
    <t>Uses of Funds</t>
  </si>
  <si>
    <t>May through December of 2023</t>
  </si>
  <si>
    <t>OPTION A</t>
  </si>
  <si>
    <t>Totals</t>
  </si>
  <si>
    <t>NCRIC Y2 Payment</t>
  </si>
  <si>
    <t>AWS Gross Infrastructure Costs</t>
  </si>
  <si>
    <t>AWS Credits (Granted)</t>
  </si>
  <si>
    <t>Net AWS Bill</t>
  </si>
  <si>
    <t>System Patches (Direct Development Fees)</t>
  </si>
  <si>
    <t>System Maintenance (Oversight/Troubleshooting)</t>
  </si>
  <si>
    <t>Other Platform Related Expenses (Auth0, Dev Tools, Etc.)</t>
  </si>
  <si>
    <t>AM Net Contribution Before SG&amp;A</t>
  </si>
  <si>
    <t>AM Cummulative Contribution Before SG&amp;A</t>
  </si>
  <si>
    <t>Max of 1,200 records per Device ID Per Day (at the approximate 900 cameras, this limit would result in 1,080,000 records per day)</t>
  </si>
  <si>
    <t>Max of 40,000 records per Agency per Day (to cap agencies with significantly more cameras than other agencies so that we can effectively ingest records from all agencies)</t>
  </si>
  <si>
    <t>Production Version: AstroMetrics 1.0 (Openlattice)</t>
  </si>
  <si>
    <t>iii) Legacy architecture becomes highly unstable when database exceeds 12 TBs (size reached after 8 months from initial deployment),</t>
  </si>
  <si>
    <t>iv) AWS's single PostgreSQL volume can't exceed 16TBs,</t>
  </si>
  <si>
    <t>Additional agencies supported, to be Classified as Flock or Neology (Erhhung and Ashiq, please help here)</t>
  </si>
  <si>
    <t>Questionable support, to discuss with Brian</t>
  </si>
  <si>
    <t>EXISTING AGENCIES</t>
  </si>
  <si>
    <t>PROPOSED NEW AGENCIES</t>
  </si>
  <si>
    <t>2 Flock Cameras</t>
  </si>
  <si>
    <t>Estimated Number of Cameras as of Mid-2022*</t>
  </si>
  <si>
    <t>Notes:</t>
  </si>
  <si>
    <t>With Latest Data Audit Greater than Zero</t>
  </si>
  <si>
    <t>AWS credits were depleted on May 14th, 2023.</t>
  </si>
  <si>
    <t>Patches to include a separation of the Flock ingestion into a new server and the implementation of a webhook for Flock data ingestion (migrating to Push API)</t>
  </si>
  <si>
    <t>June 23 AWS Bill assumes deletion of all indexed data and a postgres database reset.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</si>
</sst>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/>
    <xf numFmtId="0" fontId="4" fillId="0" borderId="0" xfId="0" applyFont="1"/>
    <xf numFmtId="17" fontId="4" fillId="0" borderId="4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7" fontId="0" fillId="0" borderId="0" xfId="0" applyNumberFormat="1"/>
    <xf numFmtId="0" fontId="4" fillId="0" borderId="1" xfId="0" applyFont="1" applyBorder="1" applyAlignment="1">
      <alignment horizontal="center"/>
    </xf>
    <xf numFmtId="164" fontId="0" fillId="0" borderId="3" xfId="1" applyNumberFormat="1" applyFont="1" applyBorder="1"/>
    <xf numFmtId="164" fontId="0" fillId="0" borderId="0" xfId="1" applyNumberFormat="1" applyFont="1"/>
    <xf numFmtId="38" fontId="4" fillId="0" borderId="0" xfId="0" applyNumberFormat="1" applyFont="1"/>
    <xf numFmtId="38" fontId="0" fillId="0" borderId="0" xfId="2" applyNumberFormat="1" applyFont="1"/>
    <xf numFmtId="38" fontId="0" fillId="0" borderId="3" xfId="0" applyNumberFormat="1" applyBorder="1"/>
    <xf numFmtId="38" fontId="0" fillId="0" borderId="0" xfId="0" applyNumberFormat="1"/>
    <xf numFmtId="38" fontId="0" fillId="0" borderId="5" xfId="0" applyNumberFormat="1" applyBorder="1"/>
    <xf numFmtId="38" fontId="0" fillId="0" borderId="6" xfId="0" applyNumberFormat="1" applyBorder="1"/>
    <xf numFmtId="38" fontId="4" fillId="0" borderId="2" xfId="0" applyNumberFormat="1" applyFont="1" applyBorder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1A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BA97-11DD-2E4B-BE7C-13879E4C0268}">
  <dimension ref="A1:O111"/>
  <sheetViews>
    <sheetView tabSelected="1" topLeftCell="A18" zoomScale="140" zoomScaleNormal="140" workbookViewId="0">
      <selection activeCell="K48" sqref="K48"/>
    </sheetView>
  </sheetViews>
  <sheetFormatPr baseColWidth="10" defaultRowHeight="16" x14ac:dyDescent="0.2"/>
  <cols>
    <col min="1" max="1" width="2.6640625" style="1" customWidth="1"/>
    <col min="2" max="2" width="3" style="1" customWidth="1"/>
    <col min="3" max="3" width="5" style="1" customWidth="1"/>
    <col min="4" max="4" width="21.83203125" style="1" customWidth="1"/>
    <col min="5" max="5" width="9.33203125" style="8" customWidth="1"/>
    <col min="6" max="6" width="9.1640625" style="8" customWidth="1"/>
    <col min="7" max="7" width="10.83203125" style="34"/>
    <col min="8" max="8" width="10.83203125" style="1"/>
    <col min="9" max="9" width="3.33203125" style="1" customWidth="1"/>
    <col min="10" max="10" width="6.33203125" style="1" customWidth="1"/>
    <col min="11" max="11" width="19.83203125" style="1" customWidth="1"/>
    <col min="12" max="12" width="9.5" style="1" customWidth="1"/>
    <col min="13" max="13" width="12.83203125" style="1" customWidth="1"/>
    <col min="14" max="14" width="10.83203125" style="1"/>
    <col min="16" max="16384" width="10.83203125" style="1"/>
  </cols>
  <sheetData>
    <row r="1" spans="1:6" x14ac:dyDescent="0.2">
      <c r="A1" s="7" t="s">
        <v>91</v>
      </c>
    </row>
    <row r="2" spans="1:6" x14ac:dyDescent="0.2">
      <c r="A2" s="1" t="s">
        <v>114</v>
      </c>
    </row>
    <row r="3" spans="1:6" x14ac:dyDescent="0.2">
      <c r="A3" s="1" t="s">
        <v>79</v>
      </c>
    </row>
    <row r="4" spans="1:6" x14ac:dyDescent="0.2">
      <c r="A4" s="1" t="s">
        <v>89</v>
      </c>
    </row>
    <row r="5" spans="1:6" x14ac:dyDescent="0.2">
      <c r="A5" s="1" t="s">
        <v>90</v>
      </c>
    </row>
    <row r="6" spans="1:6" ht="17" thickBot="1" x14ac:dyDescent="0.25"/>
    <row r="7" spans="1:6" ht="17" thickBot="1" x14ac:dyDescent="0.25">
      <c r="A7" s="1" t="s">
        <v>84</v>
      </c>
      <c r="E7" s="17">
        <f>+C56+C69+C74+C97+J32</f>
        <v>70</v>
      </c>
    </row>
    <row r="9" spans="1:6" x14ac:dyDescent="0.2">
      <c r="A9" s="1" t="s">
        <v>82</v>
      </c>
      <c r="E9" s="18" t="s">
        <v>112</v>
      </c>
      <c r="F9" s="1"/>
    </row>
    <row r="10" spans="1:6" x14ac:dyDescent="0.2">
      <c r="A10" s="1" t="s">
        <v>83</v>
      </c>
      <c r="E10" s="18" t="s">
        <v>113</v>
      </c>
      <c r="F10" s="1"/>
    </row>
    <row r="11" spans="1:6" x14ac:dyDescent="0.2">
      <c r="E11" s="18"/>
      <c r="F11" s="1"/>
    </row>
    <row r="12" spans="1:6" x14ac:dyDescent="0.2">
      <c r="A12" s="1" t="s">
        <v>87</v>
      </c>
      <c r="E12" s="18" t="s">
        <v>88</v>
      </c>
      <c r="F12" s="1"/>
    </row>
    <row r="13" spans="1:6" x14ac:dyDescent="0.2">
      <c r="E13" s="1"/>
      <c r="F13" s="1"/>
    </row>
    <row r="14" spans="1:6" x14ac:dyDescent="0.2">
      <c r="E14" s="1" t="s">
        <v>92</v>
      </c>
    </row>
    <row r="15" spans="1:6" x14ac:dyDescent="0.2">
      <c r="E15" s="18" t="s">
        <v>93</v>
      </c>
    </row>
    <row r="16" spans="1:6" x14ac:dyDescent="0.2">
      <c r="E16" s="18" t="s">
        <v>115</v>
      </c>
    </row>
    <row r="17" spans="2:13" x14ac:dyDescent="0.2">
      <c r="E17" s="18" t="s">
        <v>116</v>
      </c>
    </row>
    <row r="18" spans="2:13" x14ac:dyDescent="0.2">
      <c r="E18" s="18" t="s">
        <v>94</v>
      </c>
    </row>
    <row r="19" spans="2:13" x14ac:dyDescent="0.2">
      <c r="E19" s="18" t="s">
        <v>95</v>
      </c>
    </row>
    <row r="22" spans="2:13" ht="24" x14ac:dyDescent="0.2">
      <c r="B22" s="38" t="s">
        <v>119</v>
      </c>
      <c r="I22" s="38" t="s">
        <v>120</v>
      </c>
    </row>
    <row r="24" spans="2:13" ht="44" x14ac:dyDescent="0.2">
      <c r="B24" s="9" t="s">
        <v>76</v>
      </c>
      <c r="C24" s="4"/>
      <c r="D24" s="4"/>
      <c r="E24" s="10" t="s">
        <v>80</v>
      </c>
      <c r="F24" s="11" t="s">
        <v>124</v>
      </c>
      <c r="G24" s="35" t="s">
        <v>122</v>
      </c>
      <c r="I24" s="9" t="s">
        <v>97</v>
      </c>
      <c r="J24" s="4"/>
      <c r="K24" s="4"/>
      <c r="L24" s="10" t="s">
        <v>80</v>
      </c>
      <c r="M24" s="35" t="s">
        <v>85</v>
      </c>
    </row>
    <row r="25" spans="2:13" s="12" customFormat="1" ht="8" customHeight="1" x14ac:dyDescent="0.2">
      <c r="B25" s="13"/>
      <c r="C25" s="2"/>
      <c r="D25" s="2"/>
      <c r="E25" s="13"/>
      <c r="F25" s="14"/>
      <c r="G25" s="36"/>
    </row>
    <row r="26" spans="2:13" x14ac:dyDescent="0.2">
      <c r="B26" s="6"/>
      <c r="C26" s="5">
        <v>1</v>
      </c>
      <c r="D26" s="15" t="s">
        <v>40</v>
      </c>
      <c r="E26" s="5" t="s">
        <v>38</v>
      </c>
      <c r="F26" s="5" t="s">
        <v>38</v>
      </c>
      <c r="G26" s="37">
        <v>7</v>
      </c>
      <c r="I26" s="6"/>
      <c r="J26" s="5">
        <v>1</v>
      </c>
      <c r="K26" s="3" t="s">
        <v>8</v>
      </c>
      <c r="L26" s="42" t="s">
        <v>38</v>
      </c>
      <c r="M26" s="37" t="s">
        <v>86</v>
      </c>
    </row>
    <row r="27" spans="2:13" x14ac:dyDescent="0.2">
      <c r="B27" s="6"/>
      <c r="C27" s="5">
        <v>2</v>
      </c>
      <c r="D27" s="15" t="s">
        <v>50</v>
      </c>
      <c r="E27" s="5" t="s">
        <v>38</v>
      </c>
      <c r="F27" s="5" t="s">
        <v>38</v>
      </c>
      <c r="G27" s="37">
        <v>48</v>
      </c>
      <c r="I27" s="6"/>
      <c r="J27" s="5">
        <v>2</v>
      </c>
      <c r="K27" s="3" t="s">
        <v>72</v>
      </c>
      <c r="L27" s="16" t="s">
        <v>39</v>
      </c>
      <c r="M27" s="37" t="s">
        <v>86</v>
      </c>
    </row>
    <row r="28" spans="2:13" x14ac:dyDescent="0.2">
      <c r="B28" s="6"/>
      <c r="C28" s="5">
        <v>3</v>
      </c>
      <c r="D28" s="15" t="s">
        <v>41</v>
      </c>
      <c r="E28" s="5" t="s">
        <v>38</v>
      </c>
      <c r="F28" s="5" t="s">
        <v>38</v>
      </c>
      <c r="G28" s="37">
        <v>45</v>
      </c>
      <c r="I28" s="6"/>
      <c r="J28" s="5">
        <v>3</v>
      </c>
      <c r="K28" s="3" t="s">
        <v>74</v>
      </c>
      <c r="L28" s="16" t="s">
        <v>39</v>
      </c>
      <c r="M28" s="37" t="s">
        <v>86</v>
      </c>
    </row>
    <row r="29" spans="2:13" x14ac:dyDescent="0.2">
      <c r="B29" s="6"/>
      <c r="C29" s="5">
        <v>4</v>
      </c>
      <c r="D29" s="15" t="s">
        <v>51</v>
      </c>
      <c r="E29" s="5" t="s">
        <v>38</v>
      </c>
      <c r="F29" s="41" t="s">
        <v>39</v>
      </c>
      <c r="G29" s="37">
        <v>31</v>
      </c>
      <c r="I29" s="6"/>
      <c r="J29" s="5">
        <v>4</v>
      </c>
      <c r="K29" s="3" t="s">
        <v>71</v>
      </c>
      <c r="L29" s="16" t="s">
        <v>39</v>
      </c>
      <c r="M29" s="37" t="s">
        <v>86</v>
      </c>
    </row>
    <row r="30" spans="2:13" x14ac:dyDescent="0.2">
      <c r="B30" s="6"/>
      <c r="C30" s="5">
        <v>5</v>
      </c>
      <c r="D30" s="15" t="s">
        <v>52</v>
      </c>
      <c r="E30" s="5" t="s">
        <v>38</v>
      </c>
      <c r="F30" s="41" t="s">
        <v>39</v>
      </c>
      <c r="G30" s="37">
        <v>4</v>
      </c>
      <c r="I30" s="6"/>
      <c r="J30" s="5">
        <v>5</v>
      </c>
      <c r="K30" s="3" t="s">
        <v>23</v>
      </c>
      <c r="L30" s="42" t="s">
        <v>38</v>
      </c>
      <c r="M30" s="37" t="s">
        <v>86</v>
      </c>
    </row>
    <row r="31" spans="2:13" x14ac:dyDescent="0.2">
      <c r="B31" s="6"/>
      <c r="C31" s="5">
        <v>6</v>
      </c>
      <c r="D31" s="15" t="s">
        <v>53</v>
      </c>
      <c r="E31" s="5" t="s">
        <v>38</v>
      </c>
      <c r="F31" s="5" t="s">
        <v>38</v>
      </c>
      <c r="G31" s="37">
        <v>37</v>
      </c>
      <c r="I31" s="6"/>
      <c r="J31" s="5">
        <v>6</v>
      </c>
      <c r="K31" s="3" t="s">
        <v>75</v>
      </c>
      <c r="L31" s="16" t="s">
        <v>39</v>
      </c>
      <c r="M31" s="37" t="s">
        <v>86</v>
      </c>
    </row>
    <row r="32" spans="2:13" x14ac:dyDescent="0.2">
      <c r="B32" s="6"/>
      <c r="C32" s="5">
        <v>7</v>
      </c>
      <c r="D32" s="15" t="s">
        <v>42</v>
      </c>
      <c r="E32" s="5" t="s">
        <v>38</v>
      </c>
      <c r="F32" s="5" t="s">
        <v>38</v>
      </c>
      <c r="G32" s="37">
        <v>21</v>
      </c>
      <c r="I32" s="6"/>
      <c r="J32" s="5">
        <v>7</v>
      </c>
      <c r="K32" s="3" t="s">
        <v>73</v>
      </c>
      <c r="L32" s="16" t="s">
        <v>39</v>
      </c>
      <c r="M32" s="37" t="s">
        <v>86</v>
      </c>
    </row>
    <row r="33" spans="2:13" x14ac:dyDescent="0.2">
      <c r="B33" s="6"/>
      <c r="C33" s="5">
        <v>8</v>
      </c>
      <c r="D33" s="15" t="s">
        <v>43</v>
      </c>
      <c r="E33" s="5" t="s">
        <v>38</v>
      </c>
      <c r="F33" s="41" t="s">
        <v>39</v>
      </c>
      <c r="G33" s="37">
        <v>56</v>
      </c>
    </row>
    <row r="34" spans="2:13" x14ac:dyDescent="0.2">
      <c r="B34" s="6"/>
      <c r="C34" s="5">
        <v>9</v>
      </c>
      <c r="D34" s="3" t="s">
        <v>0</v>
      </c>
      <c r="E34" s="5" t="s">
        <v>38</v>
      </c>
      <c r="F34" s="5" t="s">
        <v>38</v>
      </c>
      <c r="G34" s="37">
        <v>5</v>
      </c>
      <c r="I34" s="9" t="s">
        <v>118</v>
      </c>
      <c r="J34" s="4"/>
      <c r="K34" s="4"/>
      <c r="L34" s="6"/>
      <c r="M34" s="34"/>
    </row>
    <row r="35" spans="2:13" x14ac:dyDescent="0.2">
      <c r="B35" s="6"/>
      <c r="C35" s="5">
        <v>10</v>
      </c>
      <c r="D35" s="15" t="s">
        <v>54</v>
      </c>
      <c r="E35" s="5" t="s">
        <v>38</v>
      </c>
      <c r="F35" s="41" t="s">
        <v>39</v>
      </c>
      <c r="G35" s="37">
        <v>35</v>
      </c>
      <c r="I35" s="6"/>
      <c r="J35" s="4"/>
      <c r="K35" s="4"/>
      <c r="L35" s="6"/>
      <c r="M35" s="34"/>
    </row>
    <row r="36" spans="2:13" x14ac:dyDescent="0.2">
      <c r="B36" s="6"/>
      <c r="C36" s="5">
        <v>11</v>
      </c>
      <c r="D36" s="15" t="s">
        <v>55</v>
      </c>
      <c r="E36" s="5" t="s">
        <v>38</v>
      </c>
      <c r="F36" s="41" t="s">
        <v>39</v>
      </c>
      <c r="G36" s="37">
        <v>3</v>
      </c>
      <c r="I36" s="6"/>
      <c r="J36" s="5">
        <v>1</v>
      </c>
      <c r="K36" s="3" t="s">
        <v>6</v>
      </c>
      <c r="L36" s="16" t="s">
        <v>39</v>
      </c>
      <c r="M36" s="37" t="s">
        <v>86</v>
      </c>
    </row>
    <row r="37" spans="2:13" x14ac:dyDescent="0.2">
      <c r="B37" s="6"/>
      <c r="C37" s="5">
        <v>12</v>
      </c>
      <c r="D37" s="15" t="s">
        <v>56</v>
      </c>
      <c r="E37" s="5" t="s">
        <v>38</v>
      </c>
      <c r="F37" s="5" t="s">
        <v>38</v>
      </c>
      <c r="G37" s="37">
        <v>25</v>
      </c>
      <c r="I37" s="6"/>
      <c r="J37" s="5">
        <v>2</v>
      </c>
      <c r="K37" s="3" t="s">
        <v>11</v>
      </c>
      <c r="L37" s="16" t="s">
        <v>39</v>
      </c>
      <c r="M37" s="37" t="s">
        <v>86</v>
      </c>
    </row>
    <row r="38" spans="2:13" x14ac:dyDescent="0.2">
      <c r="B38" s="6"/>
      <c r="C38" s="5">
        <v>13</v>
      </c>
      <c r="D38" s="15" t="s">
        <v>57</v>
      </c>
      <c r="E38" s="5" t="s">
        <v>38</v>
      </c>
      <c r="F38" s="41" t="s">
        <v>39</v>
      </c>
      <c r="G38" s="37">
        <v>3</v>
      </c>
      <c r="I38" s="6"/>
      <c r="J38" s="5">
        <v>3</v>
      </c>
      <c r="K38" s="3" t="s">
        <v>16</v>
      </c>
      <c r="L38" s="16" t="s">
        <v>39</v>
      </c>
      <c r="M38" s="37" t="s">
        <v>86</v>
      </c>
    </row>
    <row r="39" spans="2:13" x14ac:dyDescent="0.2">
      <c r="B39" s="6"/>
      <c r="C39" s="5">
        <v>14</v>
      </c>
      <c r="D39" s="15" t="s">
        <v>58</v>
      </c>
      <c r="E39" s="5" t="s">
        <v>38</v>
      </c>
      <c r="F39" s="41" t="s">
        <v>39</v>
      </c>
      <c r="G39" s="37">
        <v>13</v>
      </c>
      <c r="I39" s="6"/>
      <c r="J39" s="5">
        <v>4</v>
      </c>
      <c r="K39" s="3" t="s">
        <v>17</v>
      </c>
      <c r="L39" s="16" t="s">
        <v>39</v>
      </c>
      <c r="M39" s="37" t="s">
        <v>86</v>
      </c>
    </row>
    <row r="40" spans="2:13" x14ac:dyDescent="0.2">
      <c r="B40" s="6"/>
      <c r="C40" s="5">
        <v>15</v>
      </c>
      <c r="D40" s="15" t="s">
        <v>44</v>
      </c>
      <c r="E40" s="5" t="s">
        <v>38</v>
      </c>
      <c r="F40" s="5" t="s">
        <v>38</v>
      </c>
      <c r="G40" s="37">
        <v>15</v>
      </c>
      <c r="I40" s="6"/>
      <c r="J40" s="5">
        <v>5</v>
      </c>
      <c r="K40" s="3" t="s">
        <v>20</v>
      </c>
      <c r="L40" s="16" t="s">
        <v>39</v>
      </c>
      <c r="M40" s="37" t="s">
        <v>86</v>
      </c>
    </row>
    <row r="41" spans="2:13" x14ac:dyDescent="0.2">
      <c r="B41" s="6"/>
      <c r="C41" s="5">
        <v>16</v>
      </c>
      <c r="D41" s="15" t="s">
        <v>45</v>
      </c>
      <c r="E41" s="5" t="s">
        <v>38</v>
      </c>
      <c r="F41" s="41" t="s">
        <v>39</v>
      </c>
      <c r="G41" s="37">
        <v>23</v>
      </c>
      <c r="I41" s="6"/>
      <c r="J41" s="5">
        <v>6</v>
      </c>
      <c r="K41" s="3" t="s">
        <v>21</v>
      </c>
      <c r="L41" s="16" t="s">
        <v>39</v>
      </c>
      <c r="M41" s="37" t="s">
        <v>86</v>
      </c>
    </row>
    <row r="42" spans="2:13" x14ac:dyDescent="0.2">
      <c r="B42" s="6"/>
      <c r="C42" s="5">
        <v>17</v>
      </c>
      <c r="D42" s="15" t="s">
        <v>46</v>
      </c>
      <c r="E42" s="5" t="s">
        <v>38</v>
      </c>
      <c r="F42" s="5" t="s">
        <v>38</v>
      </c>
      <c r="G42" s="37">
        <v>25</v>
      </c>
      <c r="J42" s="5">
        <v>7</v>
      </c>
      <c r="K42" s="3" t="s">
        <v>24</v>
      </c>
      <c r="L42" s="16" t="s">
        <v>39</v>
      </c>
      <c r="M42" s="37" t="s">
        <v>86</v>
      </c>
    </row>
    <row r="43" spans="2:13" x14ac:dyDescent="0.2">
      <c r="B43" s="6"/>
      <c r="C43" s="5">
        <v>18</v>
      </c>
      <c r="D43" s="15" t="s">
        <v>37</v>
      </c>
      <c r="E43" s="5" t="s">
        <v>38</v>
      </c>
      <c r="F43" s="41" t="s">
        <v>39</v>
      </c>
      <c r="G43" s="37">
        <v>16</v>
      </c>
      <c r="J43" s="5">
        <v>8</v>
      </c>
      <c r="K43" s="3" t="s">
        <v>27</v>
      </c>
      <c r="L43" s="16" t="s">
        <v>39</v>
      </c>
      <c r="M43" s="37" t="s">
        <v>86</v>
      </c>
    </row>
    <row r="44" spans="2:13" x14ac:dyDescent="0.2">
      <c r="B44" s="6"/>
      <c r="C44" s="5">
        <v>19</v>
      </c>
      <c r="D44" s="15" t="s">
        <v>59</v>
      </c>
      <c r="E44" s="5" t="s">
        <v>38</v>
      </c>
      <c r="F44" s="41" t="s">
        <v>39</v>
      </c>
      <c r="G44" s="37">
        <v>4</v>
      </c>
      <c r="J44" s="5">
        <v>9</v>
      </c>
      <c r="K44" s="3" t="s">
        <v>28</v>
      </c>
      <c r="L44" s="16" t="s">
        <v>39</v>
      </c>
      <c r="M44" s="37" t="s">
        <v>86</v>
      </c>
    </row>
    <row r="45" spans="2:13" x14ac:dyDescent="0.2">
      <c r="B45" s="6"/>
      <c r="C45" s="5">
        <v>20</v>
      </c>
      <c r="D45" s="15" t="s">
        <v>60</v>
      </c>
      <c r="E45" s="5" t="s">
        <v>38</v>
      </c>
      <c r="F45" s="5" t="s">
        <v>38</v>
      </c>
      <c r="G45" s="37">
        <v>5</v>
      </c>
      <c r="J45" s="5">
        <v>10</v>
      </c>
      <c r="K45" s="3" t="s">
        <v>29</v>
      </c>
      <c r="L45" s="16" t="s">
        <v>39</v>
      </c>
      <c r="M45" s="37" t="s">
        <v>86</v>
      </c>
    </row>
    <row r="46" spans="2:13" x14ac:dyDescent="0.2">
      <c r="B46" s="6"/>
      <c r="C46" s="5">
        <v>21</v>
      </c>
      <c r="D46" s="15" t="s">
        <v>61</v>
      </c>
      <c r="E46" s="5" t="s">
        <v>38</v>
      </c>
      <c r="F46" s="41" t="s">
        <v>39</v>
      </c>
      <c r="G46" s="37">
        <v>6</v>
      </c>
      <c r="J46" s="5">
        <v>11</v>
      </c>
      <c r="K46" s="3" t="s">
        <v>34</v>
      </c>
      <c r="L46" s="16" t="s">
        <v>39</v>
      </c>
      <c r="M46" s="37" t="s">
        <v>86</v>
      </c>
    </row>
    <row r="47" spans="2:13" x14ac:dyDescent="0.2">
      <c r="B47" s="6"/>
      <c r="C47" s="5">
        <v>22</v>
      </c>
      <c r="D47" s="15" t="s">
        <v>47</v>
      </c>
      <c r="E47" s="5" t="s">
        <v>38</v>
      </c>
      <c r="F47" s="5" t="s">
        <v>38</v>
      </c>
      <c r="G47" s="37">
        <v>39</v>
      </c>
      <c r="J47" s="5">
        <v>12</v>
      </c>
      <c r="K47" s="15" t="s">
        <v>69</v>
      </c>
      <c r="L47" s="16" t="s">
        <v>39</v>
      </c>
      <c r="M47" s="37" t="s">
        <v>121</v>
      </c>
    </row>
    <row r="48" spans="2:13" x14ac:dyDescent="0.2">
      <c r="B48" s="6"/>
      <c r="C48" s="5">
        <v>23</v>
      </c>
      <c r="D48" s="15" t="s">
        <v>62</v>
      </c>
      <c r="E48" s="5" t="s">
        <v>38</v>
      </c>
      <c r="F48" s="41" t="s">
        <v>39</v>
      </c>
      <c r="G48" s="37">
        <v>3</v>
      </c>
    </row>
    <row r="49" spans="2:7" x14ac:dyDescent="0.2">
      <c r="B49" s="6"/>
      <c r="C49" s="5">
        <v>24</v>
      </c>
      <c r="D49" s="15" t="s">
        <v>48</v>
      </c>
      <c r="E49" s="5" t="s">
        <v>38</v>
      </c>
      <c r="F49" s="41" t="s">
        <v>39</v>
      </c>
      <c r="G49" s="37">
        <v>19</v>
      </c>
    </row>
    <row r="50" spans="2:7" x14ac:dyDescent="0.2">
      <c r="B50" s="6"/>
      <c r="C50" s="5">
        <v>25</v>
      </c>
      <c r="D50" s="15" t="s">
        <v>63</v>
      </c>
      <c r="E50" s="5" t="s">
        <v>38</v>
      </c>
      <c r="F50" s="5" t="s">
        <v>38</v>
      </c>
      <c r="G50" s="37">
        <v>20</v>
      </c>
    </row>
    <row r="51" spans="2:7" x14ac:dyDescent="0.2">
      <c r="B51" s="6"/>
      <c r="C51" s="5">
        <v>26</v>
      </c>
      <c r="D51" s="15" t="s">
        <v>64</v>
      </c>
      <c r="E51" s="5" t="s">
        <v>38</v>
      </c>
      <c r="F51" s="41" t="s">
        <v>39</v>
      </c>
      <c r="G51" s="37">
        <v>25</v>
      </c>
    </row>
    <row r="52" spans="2:7" x14ac:dyDescent="0.2">
      <c r="B52" s="6"/>
      <c r="C52" s="5">
        <v>27</v>
      </c>
      <c r="D52" s="15" t="s">
        <v>66</v>
      </c>
      <c r="E52" s="5" t="s">
        <v>38</v>
      </c>
      <c r="F52" s="5" t="s">
        <v>38</v>
      </c>
      <c r="G52" s="37">
        <v>12</v>
      </c>
    </row>
    <row r="53" spans="2:7" x14ac:dyDescent="0.2">
      <c r="B53" s="6"/>
      <c r="C53" s="5">
        <v>28</v>
      </c>
      <c r="D53" s="15" t="s">
        <v>65</v>
      </c>
      <c r="E53" s="5" t="s">
        <v>38</v>
      </c>
      <c r="F53" s="5" t="s">
        <v>38</v>
      </c>
      <c r="G53" s="37">
        <v>31</v>
      </c>
    </row>
    <row r="54" spans="2:7" x14ac:dyDescent="0.2">
      <c r="B54" s="6"/>
      <c r="C54" s="5">
        <v>29</v>
      </c>
      <c r="D54" s="15" t="s">
        <v>67</v>
      </c>
      <c r="E54" s="5" t="s">
        <v>38</v>
      </c>
      <c r="F54" s="5" t="s">
        <v>38</v>
      </c>
      <c r="G54" s="37">
        <v>46</v>
      </c>
    </row>
    <row r="55" spans="2:7" x14ac:dyDescent="0.2">
      <c r="B55" s="6"/>
      <c r="C55" s="5">
        <v>30</v>
      </c>
      <c r="D55" s="15" t="s">
        <v>49</v>
      </c>
      <c r="E55" s="5" t="s">
        <v>38</v>
      </c>
      <c r="F55" s="5" t="s">
        <v>39</v>
      </c>
      <c r="G55" s="37">
        <v>9</v>
      </c>
    </row>
    <row r="56" spans="2:7" x14ac:dyDescent="0.2">
      <c r="B56" s="6"/>
      <c r="C56" s="5">
        <v>31</v>
      </c>
      <c r="D56" s="15" t="s">
        <v>68</v>
      </c>
      <c r="E56" s="5" t="s">
        <v>38</v>
      </c>
      <c r="F56" s="5" t="s">
        <v>38</v>
      </c>
      <c r="G56" s="37">
        <v>68</v>
      </c>
    </row>
    <row r="57" spans="2:7" x14ac:dyDescent="0.2">
      <c r="B57" s="6"/>
      <c r="E57" s="1"/>
      <c r="F57" s="1"/>
      <c r="G57" s="1"/>
    </row>
    <row r="58" spans="2:7" x14ac:dyDescent="0.2">
      <c r="B58" s="9" t="s">
        <v>77</v>
      </c>
      <c r="C58" s="6"/>
      <c r="D58" s="4"/>
      <c r="E58" s="6"/>
      <c r="F58" s="6"/>
    </row>
    <row r="59" spans="2:7" x14ac:dyDescent="0.2">
      <c r="B59" s="6"/>
      <c r="C59" s="6"/>
      <c r="D59" s="4"/>
      <c r="E59" s="6"/>
      <c r="F59" s="6"/>
    </row>
    <row r="60" spans="2:7" x14ac:dyDescent="0.2">
      <c r="B60" s="6"/>
      <c r="C60" s="5">
        <v>1</v>
      </c>
      <c r="D60" s="3" t="s">
        <v>1</v>
      </c>
      <c r="E60" s="5" t="s">
        <v>38</v>
      </c>
      <c r="F60" s="5" t="s">
        <v>38</v>
      </c>
      <c r="G60" s="37" t="s">
        <v>96</v>
      </c>
    </row>
    <row r="61" spans="2:7" x14ac:dyDescent="0.2">
      <c r="B61" s="6"/>
      <c r="C61" s="5">
        <v>2</v>
      </c>
      <c r="D61" s="3" t="s">
        <v>0</v>
      </c>
      <c r="E61" s="5" t="s">
        <v>38</v>
      </c>
      <c r="F61" s="5" t="s">
        <v>38</v>
      </c>
      <c r="G61" s="37" t="s">
        <v>96</v>
      </c>
    </row>
    <row r="62" spans="2:7" x14ac:dyDescent="0.2">
      <c r="B62" s="6"/>
      <c r="C62" s="5">
        <v>3</v>
      </c>
      <c r="D62" s="3" t="s">
        <v>3</v>
      </c>
      <c r="E62" s="5" t="s">
        <v>38</v>
      </c>
      <c r="F62" s="5" t="s">
        <v>38</v>
      </c>
      <c r="G62" s="37" t="s">
        <v>96</v>
      </c>
    </row>
    <row r="63" spans="2:7" x14ac:dyDescent="0.2">
      <c r="B63" s="6"/>
      <c r="C63" s="5">
        <v>4</v>
      </c>
      <c r="D63" s="3" t="s">
        <v>23</v>
      </c>
      <c r="E63" s="5" t="s">
        <v>38</v>
      </c>
      <c r="F63" s="5" t="s">
        <v>38</v>
      </c>
      <c r="G63" s="37" t="s">
        <v>96</v>
      </c>
    </row>
    <row r="64" spans="2:7" x14ac:dyDescent="0.2">
      <c r="B64" s="6"/>
      <c r="C64" s="5">
        <v>5</v>
      </c>
      <c r="D64" s="15" t="s">
        <v>47</v>
      </c>
      <c r="E64" s="5" t="s">
        <v>38</v>
      </c>
      <c r="F64" s="5" t="s">
        <v>38</v>
      </c>
      <c r="G64" s="37" t="s">
        <v>96</v>
      </c>
    </row>
    <row r="65" spans="2:7" x14ac:dyDescent="0.2">
      <c r="B65" s="6"/>
      <c r="C65" s="5">
        <v>6</v>
      </c>
      <c r="D65" s="3" t="s">
        <v>4</v>
      </c>
      <c r="E65" s="5" t="s">
        <v>38</v>
      </c>
      <c r="F65" s="5" t="s">
        <v>38</v>
      </c>
      <c r="G65" s="37" t="s">
        <v>96</v>
      </c>
    </row>
    <row r="66" spans="2:7" x14ac:dyDescent="0.2">
      <c r="B66" s="6"/>
      <c r="C66" s="5">
        <v>7</v>
      </c>
      <c r="D66" s="3" t="s">
        <v>5</v>
      </c>
      <c r="E66" s="5" t="s">
        <v>38</v>
      </c>
      <c r="F66" s="5" t="s">
        <v>38</v>
      </c>
      <c r="G66" s="37" t="s">
        <v>96</v>
      </c>
    </row>
    <row r="67" spans="2:7" x14ac:dyDescent="0.2">
      <c r="B67" s="6"/>
      <c r="C67" s="5">
        <v>8</v>
      </c>
      <c r="D67" s="3" t="s">
        <v>2</v>
      </c>
      <c r="E67" s="5" t="s">
        <v>38</v>
      </c>
      <c r="F67" s="5" t="s">
        <v>38</v>
      </c>
      <c r="G67" s="37" t="s">
        <v>96</v>
      </c>
    </row>
    <row r="68" spans="2:7" x14ac:dyDescent="0.2">
      <c r="B68" s="6"/>
      <c r="C68" s="5">
        <v>9</v>
      </c>
      <c r="D68" s="3" t="s">
        <v>70</v>
      </c>
      <c r="E68" s="5" t="s">
        <v>38</v>
      </c>
      <c r="F68" s="5" t="s">
        <v>38</v>
      </c>
      <c r="G68" s="37" t="s">
        <v>96</v>
      </c>
    </row>
    <row r="69" spans="2:7" x14ac:dyDescent="0.2">
      <c r="B69" s="6"/>
      <c r="C69" s="5">
        <v>10</v>
      </c>
      <c r="D69" s="15" t="s">
        <v>68</v>
      </c>
      <c r="E69" s="5" t="s">
        <v>38</v>
      </c>
      <c r="F69" s="5" t="s">
        <v>38</v>
      </c>
      <c r="G69" s="37" t="s">
        <v>96</v>
      </c>
    </row>
    <row r="70" spans="2:7" x14ac:dyDescent="0.2">
      <c r="B70" s="6"/>
      <c r="C70" s="6"/>
      <c r="D70" s="4"/>
      <c r="E70" s="6"/>
      <c r="F70" s="6"/>
    </row>
    <row r="71" spans="2:7" x14ac:dyDescent="0.2">
      <c r="B71" s="9" t="s">
        <v>78</v>
      </c>
      <c r="C71" s="6"/>
      <c r="D71" s="4"/>
      <c r="E71" s="6"/>
      <c r="F71" s="6"/>
    </row>
    <row r="72" spans="2:7" x14ac:dyDescent="0.2">
      <c r="B72" s="6"/>
      <c r="C72" s="6"/>
      <c r="D72" s="4"/>
      <c r="E72" s="6"/>
      <c r="F72" s="6"/>
    </row>
    <row r="73" spans="2:7" x14ac:dyDescent="0.2">
      <c r="B73" s="6"/>
      <c r="C73" s="5">
        <v>1</v>
      </c>
      <c r="D73" s="3" t="s">
        <v>81</v>
      </c>
      <c r="E73" s="5" t="s">
        <v>38</v>
      </c>
      <c r="F73" s="41" t="s">
        <v>39</v>
      </c>
      <c r="G73" s="37" t="s">
        <v>96</v>
      </c>
    </row>
    <row r="74" spans="2:7" x14ac:dyDescent="0.2">
      <c r="B74" s="6"/>
      <c r="C74" s="5">
        <v>2</v>
      </c>
      <c r="D74" s="15" t="s">
        <v>49</v>
      </c>
      <c r="E74" s="5" t="s">
        <v>38</v>
      </c>
      <c r="F74" s="41" t="s">
        <v>39</v>
      </c>
      <c r="G74" s="37" t="s">
        <v>96</v>
      </c>
    </row>
    <row r="75" spans="2:7" x14ac:dyDescent="0.2">
      <c r="B75" s="6"/>
      <c r="C75" s="6"/>
      <c r="D75" s="4"/>
      <c r="E75" s="6"/>
      <c r="F75" s="6"/>
    </row>
    <row r="76" spans="2:7" x14ac:dyDescent="0.2">
      <c r="B76" s="9" t="s">
        <v>117</v>
      </c>
      <c r="C76" s="6"/>
      <c r="D76" s="4"/>
      <c r="E76" s="6"/>
      <c r="F76" s="6"/>
    </row>
    <row r="77" spans="2:7" x14ac:dyDescent="0.2">
      <c r="B77" s="6"/>
      <c r="C77" s="6"/>
      <c r="D77" s="4"/>
      <c r="E77" s="6"/>
      <c r="F77" s="1"/>
    </row>
    <row r="78" spans="2:7" x14ac:dyDescent="0.2">
      <c r="B78" s="6"/>
      <c r="C78" s="5">
        <v>1</v>
      </c>
      <c r="D78" s="3" t="s">
        <v>7</v>
      </c>
      <c r="E78" s="5" t="s">
        <v>38</v>
      </c>
      <c r="F78" s="41" t="s">
        <v>39</v>
      </c>
      <c r="G78" s="37" t="s">
        <v>96</v>
      </c>
    </row>
    <row r="79" spans="2:7" x14ac:dyDescent="0.2">
      <c r="B79" s="6"/>
      <c r="C79" s="5">
        <v>2</v>
      </c>
      <c r="D79" s="3" t="s">
        <v>8</v>
      </c>
      <c r="E79" s="5" t="s">
        <v>38</v>
      </c>
      <c r="F79" s="41" t="s">
        <v>39</v>
      </c>
      <c r="G79" s="37" t="s">
        <v>96</v>
      </c>
    </row>
    <row r="80" spans="2:7" x14ac:dyDescent="0.2">
      <c r="B80" s="6"/>
      <c r="C80" s="5">
        <v>3</v>
      </c>
      <c r="D80" s="3" t="s">
        <v>9</v>
      </c>
      <c r="E80" s="5" t="s">
        <v>38</v>
      </c>
      <c r="F80" s="41" t="s">
        <v>39</v>
      </c>
      <c r="G80" s="37" t="s">
        <v>96</v>
      </c>
    </row>
    <row r="81" spans="2:7" x14ac:dyDescent="0.2">
      <c r="B81" s="6"/>
      <c r="C81" s="5">
        <v>4</v>
      </c>
      <c r="D81" s="3" t="s">
        <v>10</v>
      </c>
      <c r="E81" s="5" t="s">
        <v>38</v>
      </c>
      <c r="F81" s="41" t="s">
        <v>39</v>
      </c>
      <c r="G81" s="37" t="s">
        <v>96</v>
      </c>
    </row>
    <row r="82" spans="2:7" x14ac:dyDescent="0.2">
      <c r="B82" s="6"/>
      <c r="C82" s="5">
        <v>5</v>
      </c>
      <c r="D82" s="3" t="s">
        <v>12</v>
      </c>
      <c r="E82" s="5" t="s">
        <v>38</v>
      </c>
      <c r="F82" s="41" t="s">
        <v>39</v>
      </c>
      <c r="G82" s="37" t="s">
        <v>96</v>
      </c>
    </row>
    <row r="83" spans="2:7" x14ac:dyDescent="0.2">
      <c r="B83" s="6"/>
      <c r="C83" s="5">
        <v>6</v>
      </c>
      <c r="D83" s="3" t="s">
        <v>13</v>
      </c>
      <c r="E83" s="5" t="s">
        <v>38</v>
      </c>
      <c r="F83" s="41" t="s">
        <v>39</v>
      </c>
      <c r="G83" s="37" t="s">
        <v>96</v>
      </c>
    </row>
    <row r="84" spans="2:7" x14ac:dyDescent="0.2">
      <c r="B84" s="6"/>
      <c r="C84" s="5">
        <v>7</v>
      </c>
      <c r="D84" s="3" t="s">
        <v>14</v>
      </c>
      <c r="E84" s="5" t="s">
        <v>38</v>
      </c>
      <c r="F84" s="41" t="s">
        <v>39</v>
      </c>
      <c r="G84" s="37" t="s">
        <v>96</v>
      </c>
    </row>
    <row r="85" spans="2:7" x14ac:dyDescent="0.2">
      <c r="B85" s="6"/>
      <c r="C85" s="5">
        <v>8</v>
      </c>
      <c r="D85" s="3" t="s">
        <v>15</v>
      </c>
      <c r="E85" s="5" t="s">
        <v>38</v>
      </c>
      <c r="F85" s="41" t="s">
        <v>39</v>
      </c>
      <c r="G85" s="37" t="s">
        <v>96</v>
      </c>
    </row>
    <row r="86" spans="2:7" x14ac:dyDescent="0.2">
      <c r="B86" s="6"/>
      <c r="C86" s="5">
        <v>9</v>
      </c>
      <c r="D86" s="3" t="s">
        <v>18</v>
      </c>
      <c r="E86" s="5" t="s">
        <v>38</v>
      </c>
      <c r="F86" s="41" t="s">
        <v>39</v>
      </c>
      <c r="G86" s="37" t="s">
        <v>96</v>
      </c>
    </row>
    <row r="87" spans="2:7" x14ac:dyDescent="0.2">
      <c r="B87" s="6"/>
      <c r="C87" s="5">
        <v>10</v>
      </c>
      <c r="D87" s="3" t="s">
        <v>19</v>
      </c>
      <c r="E87" s="5" t="s">
        <v>38</v>
      </c>
      <c r="F87" s="41" t="s">
        <v>39</v>
      </c>
      <c r="G87" s="37" t="s">
        <v>96</v>
      </c>
    </row>
    <row r="88" spans="2:7" x14ac:dyDescent="0.2">
      <c r="B88" s="6"/>
      <c r="C88" s="5">
        <v>11</v>
      </c>
      <c r="D88" s="3" t="s">
        <v>22</v>
      </c>
      <c r="E88" s="5" t="s">
        <v>38</v>
      </c>
      <c r="F88" s="41" t="s">
        <v>39</v>
      </c>
      <c r="G88" s="37" t="s">
        <v>96</v>
      </c>
    </row>
    <row r="89" spans="2:7" x14ac:dyDescent="0.2">
      <c r="B89" s="6"/>
      <c r="C89" s="5">
        <v>12</v>
      </c>
      <c r="D89" s="3" t="s">
        <v>23</v>
      </c>
      <c r="E89" s="5" t="s">
        <v>38</v>
      </c>
      <c r="F89" s="41" t="s">
        <v>39</v>
      </c>
      <c r="G89" s="37" t="s">
        <v>96</v>
      </c>
    </row>
    <row r="90" spans="2:7" x14ac:dyDescent="0.2">
      <c r="B90" s="6"/>
      <c r="C90" s="5">
        <v>13</v>
      </c>
      <c r="D90" s="3" t="s">
        <v>25</v>
      </c>
      <c r="E90" s="5" t="s">
        <v>38</v>
      </c>
      <c r="F90" s="41" t="s">
        <v>39</v>
      </c>
      <c r="G90" s="37" t="s">
        <v>96</v>
      </c>
    </row>
    <row r="91" spans="2:7" x14ac:dyDescent="0.2">
      <c r="B91" s="6"/>
      <c r="C91" s="5">
        <v>14</v>
      </c>
      <c r="D91" s="3" t="s">
        <v>26</v>
      </c>
      <c r="E91" s="5" t="s">
        <v>38</v>
      </c>
      <c r="F91" s="41" t="s">
        <v>39</v>
      </c>
      <c r="G91" s="37" t="s">
        <v>96</v>
      </c>
    </row>
    <row r="92" spans="2:7" x14ac:dyDescent="0.2">
      <c r="B92" s="6"/>
      <c r="C92" s="5">
        <v>15</v>
      </c>
      <c r="D92" s="3" t="s">
        <v>30</v>
      </c>
      <c r="E92" s="5" t="s">
        <v>38</v>
      </c>
      <c r="F92" s="41" t="s">
        <v>39</v>
      </c>
      <c r="G92" s="37" t="s">
        <v>96</v>
      </c>
    </row>
    <row r="93" spans="2:7" x14ac:dyDescent="0.2">
      <c r="B93" s="6"/>
      <c r="C93" s="5">
        <v>16</v>
      </c>
      <c r="D93" s="3" t="s">
        <v>31</v>
      </c>
      <c r="E93" s="5" t="s">
        <v>38</v>
      </c>
      <c r="F93" s="41" t="s">
        <v>39</v>
      </c>
      <c r="G93" s="37" t="s">
        <v>96</v>
      </c>
    </row>
    <row r="94" spans="2:7" x14ac:dyDescent="0.2">
      <c r="B94" s="6"/>
      <c r="C94" s="5">
        <v>17</v>
      </c>
      <c r="D94" s="3" t="s">
        <v>32</v>
      </c>
      <c r="E94" s="5" t="s">
        <v>38</v>
      </c>
      <c r="F94" s="41" t="s">
        <v>39</v>
      </c>
      <c r="G94" s="37" t="s">
        <v>96</v>
      </c>
    </row>
    <row r="95" spans="2:7" x14ac:dyDescent="0.2">
      <c r="B95" s="6"/>
      <c r="C95" s="5">
        <v>18</v>
      </c>
      <c r="D95" s="3" t="s">
        <v>33</v>
      </c>
      <c r="E95" s="5" t="s">
        <v>38</v>
      </c>
      <c r="F95" s="41" t="s">
        <v>39</v>
      </c>
      <c r="G95" s="37" t="s">
        <v>96</v>
      </c>
    </row>
    <row r="96" spans="2:7" x14ac:dyDescent="0.2">
      <c r="B96" s="6"/>
      <c r="C96" s="5">
        <v>19</v>
      </c>
      <c r="D96" s="3" t="s">
        <v>35</v>
      </c>
      <c r="E96" s="5" t="s">
        <v>38</v>
      </c>
      <c r="F96" s="41" t="s">
        <v>39</v>
      </c>
      <c r="G96" s="37" t="s">
        <v>96</v>
      </c>
    </row>
    <row r="97" spans="2:7" x14ac:dyDescent="0.2">
      <c r="B97" s="6"/>
      <c r="C97" s="5">
        <v>20</v>
      </c>
      <c r="D97" s="3" t="s">
        <v>36</v>
      </c>
      <c r="E97" s="5" t="s">
        <v>38</v>
      </c>
      <c r="F97" s="41" t="s">
        <v>39</v>
      </c>
      <c r="G97" s="37" t="s">
        <v>96</v>
      </c>
    </row>
    <row r="98" spans="2:7" x14ac:dyDescent="0.2">
      <c r="B98" s="6"/>
      <c r="C98" s="4"/>
      <c r="D98" s="4"/>
      <c r="E98" s="6"/>
      <c r="F98" s="1"/>
    </row>
    <row r="99" spans="2:7" x14ac:dyDescent="0.2">
      <c r="E99" s="1"/>
      <c r="F99" s="1"/>
      <c r="G99" s="1"/>
    </row>
    <row r="100" spans="2:7" x14ac:dyDescent="0.2">
      <c r="E100" s="1"/>
      <c r="F100" s="1"/>
      <c r="G100" s="1"/>
    </row>
    <row r="101" spans="2:7" x14ac:dyDescent="0.2">
      <c r="E101" s="1"/>
      <c r="F101" s="1"/>
      <c r="G101" s="1"/>
    </row>
    <row r="102" spans="2:7" x14ac:dyDescent="0.2">
      <c r="E102" s="1"/>
      <c r="F102" s="1"/>
      <c r="G102" s="1"/>
    </row>
    <row r="103" spans="2:7" x14ac:dyDescent="0.2">
      <c r="E103" s="1"/>
      <c r="F103" s="1"/>
      <c r="G103" s="1"/>
    </row>
    <row r="104" spans="2:7" x14ac:dyDescent="0.2">
      <c r="E104" s="1"/>
      <c r="F104" s="1"/>
      <c r="G104" s="1"/>
    </row>
    <row r="105" spans="2:7" x14ac:dyDescent="0.2">
      <c r="E105" s="1"/>
      <c r="F105" s="1"/>
      <c r="G105" s="1"/>
    </row>
    <row r="106" spans="2:7" x14ac:dyDescent="0.2">
      <c r="E106" s="1"/>
      <c r="F106" s="1"/>
      <c r="G106" s="1"/>
    </row>
    <row r="107" spans="2:7" x14ac:dyDescent="0.2">
      <c r="E107" s="1"/>
      <c r="F107" s="1"/>
      <c r="G107" s="1"/>
    </row>
    <row r="108" spans="2:7" x14ac:dyDescent="0.2">
      <c r="E108" s="1"/>
      <c r="F108" s="1"/>
      <c r="G108" s="1"/>
    </row>
    <row r="109" spans="2:7" x14ac:dyDescent="0.2">
      <c r="E109" s="1"/>
      <c r="F109" s="1"/>
      <c r="G109" s="1"/>
    </row>
    <row r="110" spans="2:7" x14ac:dyDescent="0.2">
      <c r="E110" s="1"/>
      <c r="F110" s="1"/>
      <c r="G110" s="1"/>
    </row>
    <row r="111" spans="2:7" x14ac:dyDescent="0.2">
      <c r="E111" s="1"/>
      <c r="F111" s="1"/>
      <c r="G1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549-1631-C747-8B4F-D36C790904F7}">
  <dimension ref="B1:XFD24"/>
  <sheetViews>
    <sheetView workbookViewId="0">
      <selection activeCell="D30" sqref="D30"/>
    </sheetView>
  </sheetViews>
  <sheetFormatPr baseColWidth="10" defaultRowHeight="16" x14ac:dyDescent="0.2"/>
  <cols>
    <col min="1" max="1" width="2.6640625" customWidth="1"/>
    <col min="2" max="2" width="48.83203125" customWidth="1"/>
    <col min="12" max="12" width="3.33203125" customWidth="1"/>
  </cols>
  <sheetData>
    <row r="1" spans="2:13 16384:16384" x14ac:dyDescent="0.2">
      <c r="B1" t="s">
        <v>98</v>
      </c>
    </row>
    <row r="2" spans="2:13 16384:16384" x14ac:dyDescent="0.2">
      <c r="B2" t="s">
        <v>99</v>
      </c>
    </row>
    <row r="3" spans="2:13 16384:16384" x14ac:dyDescent="0.2">
      <c r="B3" t="s">
        <v>100</v>
      </c>
      <c r="D3" s="19"/>
    </row>
    <row r="4" spans="2:13 16384:16384" x14ac:dyDescent="0.2">
      <c r="D4" s="19"/>
    </row>
    <row r="5" spans="2:13 16384:16384" x14ac:dyDescent="0.2">
      <c r="B5" s="20" t="s">
        <v>101</v>
      </c>
      <c r="C5" s="21">
        <v>45017</v>
      </c>
      <c r="D5" s="22">
        <v>45047</v>
      </c>
      <c r="E5" s="22">
        <v>45078</v>
      </c>
      <c r="F5" s="22">
        <v>45108</v>
      </c>
      <c r="G5" s="22">
        <v>45139</v>
      </c>
      <c r="H5" s="22">
        <v>45170</v>
      </c>
      <c r="I5" s="22">
        <v>45200</v>
      </c>
      <c r="J5" s="22">
        <v>45231</v>
      </c>
      <c r="K5" s="22">
        <v>45261</v>
      </c>
      <c r="L5" s="23"/>
      <c r="M5" s="24" t="s">
        <v>102</v>
      </c>
    </row>
    <row r="6" spans="2:13 16384:16384" x14ac:dyDescent="0.2">
      <c r="D6" s="19"/>
    </row>
    <row r="7" spans="2:13 16384:16384" x14ac:dyDescent="0.2">
      <c r="B7" t="s">
        <v>103</v>
      </c>
      <c r="D7" s="25">
        <v>0</v>
      </c>
      <c r="E7" s="26">
        <v>92500</v>
      </c>
      <c r="M7" s="27">
        <f>SUM(D7:K7)</f>
        <v>92500</v>
      </c>
    </row>
    <row r="8" spans="2:13 16384:16384" x14ac:dyDescent="0.2">
      <c r="D8" s="19"/>
    </row>
    <row r="9" spans="2:13 16384:16384" x14ac:dyDescent="0.2">
      <c r="B9" t="s">
        <v>104</v>
      </c>
      <c r="C9" s="28">
        <v>-8750</v>
      </c>
      <c r="D9" s="29">
        <v>-8500</v>
      </c>
      <c r="E9" s="30">
        <v>-6500</v>
      </c>
      <c r="F9" s="30">
        <f t="shared" ref="F9:K9" si="0">+E9*1.05</f>
        <v>-6825</v>
      </c>
      <c r="G9" s="30">
        <f t="shared" si="0"/>
        <v>-7166.25</v>
      </c>
      <c r="H9" s="30">
        <f t="shared" si="0"/>
        <v>-7524.5625</v>
      </c>
      <c r="I9" s="30">
        <f t="shared" si="0"/>
        <v>-7900.7906250000005</v>
      </c>
      <c r="J9" s="30">
        <f t="shared" si="0"/>
        <v>-8295.8301562500001</v>
      </c>
      <c r="K9" s="30">
        <f t="shared" si="0"/>
        <v>-8710.6216640625007</v>
      </c>
      <c r="L9" s="30"/>
      <c r="M9" s="27">
        <f>SUM(D9:K9)</f>
        <v>-61423.054945312499</v>
      </c>
    </row>
    <row r="10" spans="2:13 16384:16384" x14ac:dyDescent="0.2">
      <c r="B10" t="s">
        <v>105</v>
      </c>
      <c r="C10" s="31">
        <f>-C9</f>
        <v>8750</v>
      </c>
      <c r="D10" s="32">
        <v>5000</v>
      </c>
      <c r="E10" s="31">
        <v>0</v>
      </c>
      <c r="F10" s="31"/>
      <c r="G10" s="31"/>
      <c r="H10" s="31"/>
      <c r="I10" s="31"/>
      <c r="J10" s="31"/>
      <c r="K10" s="31"/>
      <c r="M10" s="27">
        <f>SUM(D10:K10)</f>
        <v>5000</v>
      </c>
    </row>
    <row r="11" spans="2:13 16384:16384" x14ac:dyDescent="0.2">
      <c r="B11" t="s">
        <v>106</v>
      </c>
      <c r="C11" s="30">
        <f t="shared" ref="C11:K11" si="1">+C9+C10</f>
        <v>0</v>
      </c>
      <c r="D11" s="29">
        <f t="shared" si="1"/>
        <v>-3500</v>
      </c>
      <c r="E11" s="30">
        <f t="shared" si="1"/>
        <v>-6500</v>
      </c>
      <c r="F11" s="30">
        <f t="shared" si="1"/>
        <v>-6825</v>
      </c>
      <c r="G11" s="30">
        <f t="shared" si="1"/>
        <v>-7166.25</v>
      </c>
      <c r="H11" s="30">
        <f t="shared" si="1"/>
        <v>-7524.5625</v>
      </c>
      <c r="I11" s="30">
        <f t="shared" si="1"/>
        <v>-7900.7906250000005</v>
      </c>
      <c r="J11" s="30">
        <f t="shared" si="1"/>
        <v>-8295.8301562500001</v>
      </c>
      <c r="K11" s="30">
        <f t="shared" si="1"/>
        <v>-8710.6216640625007</v>
      </c>
      <c r="L11" s="30"/>
      <c r="M11" s="27">
        <f>SUM(D11:K11)</f>
        <v>-56423.054945312499</v>
      </c>
    </row>
    <row r="12" spans="2:13 16384:16384" x14ac:dyDescent="0.2">
      <c r="C12" s="30"/>
      <c r="D12" s="29"/>
      <c r="E12" s="30"/>
      <c r="F12" s="30"/>
      <c r="G12" s="30"/>
      <c r="H12" s="30"/>
      <c r="I12" s="30"/>
      <c r="J12" s="30"/>
      <c r="K12" s="30"/>
      <c r="L12" s="30"/>
      <c r="M12" s="20"/>
    </row>
    <row r="13" spans="2:13 16384:16384" x14ac:dyDescent="0.2">
      <c r="B13" t="s">
        <v>107</v>
      </c>
      <c r="C13" s="30"/>
      <c r="D13" s="29">
        <v>-6000</v>
      </c>
      <c r="E13" s="30">
        <v>-6000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/>
      <c r="M13" s="27">
        <f>SUM(D13:K13)</f>
        <v>-12000</v>
      </c>
    </row>
    <row r="14" spans="2:13 16384:16384" x14ac:dyDescent="0.2">
      <c r="B14" t="s">
        <v>108</v>
      </c>
      <c r="C14" s="30">
        <v>-2500</v>
      </c>
      <c r="D14" s="29">
        <v>-2500</v>
      </c>
      <c r="E14" s="30">
        <v>-2500</v>
      </c>
      <c r="F14" s="30">
        <v>-2500</v>
      </c>
      <c r="G14" s="30">
        <v>-2500</v>
      </c>
      <c r="H14" s="30">
        <v>-2000</v>
      </c>
      <c r="I14" s="30">
        <v>-2000</v>
      </c>
      <c r="J14" s="30">
        <v>-2000</v>
      </c>
      <c r="K14" s="30">
        <v>-2000</v>
      </c>
      <c r="L14" s="30"/>
      <c r="M14" s="27">
        <f>SUM(D14:K14)</f>
        <v>-18000</v>
      </c>
    </row>
    <row r="15" spans="2:13 16384:16384" x14ac:dyDescent="0.2">
      <c r="B15" t="s">
        <v>109</v>
      </c>
      <c r="C15" s="30">
        <v>-500</v>
      </c>
      <c r="D15" s="29">
        <v>-500</v>
      </c>
      <c r="E15" s="30">
        <v>-500</v>
      </c>
      <c r="F15" s="30">
        <v>-500</v>
      </c>
      <c r="G15" s="30">
        <v>-500</v>
      </c>
      <c r="H15" s="30">
        <v>-500</v>
      </c>
      <c r="I15" s="30">
        <v>-500</v>
      </c>
      <c r="J15" s="30">
        <v>-500</v>
      </c>
      <c r="K15" s="30">
        <v>-500</v>
      </c>
      <c r="L15" s="30"/>
      <c r="M15" s="27">
        <f>SUM(D15:K15)</f>
        <v>-4000</v>
      </c>
      <c r="XFD15" s="30"/>
    </row>
    <row r="16" spans="2:13 16384:16384" ht="17" thickBot="1" x14ac:dyDescent="0.25">
      <c r="C16" s="30"/>
      <c r="D16" s="29"/>
      <c r="E16" s="30"/>
      <c r="F16" s="30"/>
      <c r="G16" s="30"/>
      <c r="H16" s="30"/>
      <c r="I16" s="30"/>
      <c r="J16" s="30"/>
      <c r="K16" s="30"/>
      <c r="L16" s="30"/>
      <c r="M16" s="20"/>
    </row>
    <row r="17" spans="2:13" ht="17" thickBot="1" x14ac:dyDescent="0.25">
      <c r="B17" t="s">
        <v>110</v>
      </c>
      <c r="C17" s="30">
        <f t="shared" ref="C17:K17" si="2">+C7+C11+C13+C14+C15</f>
        <v>-3000</v>
      </c>
      <c r="D17" s="29">
        <f t="shared" si="2"/>
        <v>-12500</v>
      </c>
      <c r="E17" s="30">
        <f t="shared" si="2"/>
        <v>77000</v>
      </c>
      <c r="F17" s="30">
        <f t="shared" si="2"/>
        <v>-9825</v>
      </c>
      <c r="G17" s="30">
        <f t="shared" si="2"/>
        <v>-10166.25</v>
      </c>
      <c r="H17" s="30">
        <f t="shared" si="2"/>
        <v>-10024.5625</v>
      </c>
      <c r="I17" s="30">
        <f t="shared" si="2"/>
        <v>-10400.790625000001</v>
      </c>
      <c r="J17" s="30">
        <f t="shared" si="2"/>
        <v>-10795.83015625</v>
      </c>
      <c r="K17" s="30">
        <f t="shared" si="2"/>
        <v>-11210.621664062501</v>
      </c>
      <c r="L17" s="30"/>
      <c r="M17" s="33">
        <f>+M7+M11+M13+M14+M15</f>
        <v>2076.9450546875014</v>
      </c>
    </row>
    <row r="18" spans="2:13" x14ac:dyDescent="0.2">
      <c r="B18" t="s">
        <v>111</v>
      </c>
      <c r="C18" s="30"/>
      <c r="D18" s="29">
        <f>+D17</f>
        <v>-12500</v>
      </c>
      <c r="E18" s="30">
        <f t="shared" ref="E18:K18" si="3">+D18+E17</f>
        <v>64500</v>
      </c>
      <c r="F18" s="30">
        <f t="shared" si="3"/>
        <v>54675</v>
      </c>
      <c r="G18" s="30">
        <f t="shared" si="3"/>
        <v>44508.75</v>
      </c>
      <c r="H18" s="30">
        <f t="shared" si="3"/>
        <v>34484.1875</v>
      </c>
      <c r="I18" s="30">
        <f t="shared" si="3"/>
        <v>24083.396874999999</v>
      </c>
      <c r="J18" s="30">
        <f t="shared" si="3"/>
        <v>13287.566718749998</v>
      </c>
      <c r="K18" s="30">
        <f t="shared" si="3"/>
        <v>2076.9450546874978</v>
      </c>
      <c r="L18" s="30"/>
      <c r="M18" s="27"/>
    </row>
    <row r="19" spans="2:13" x14ac:dyDescent="0.2">
      <c r="C19" s="30"/>
      <c r="D19" s="29"/>
      <c r="E19" s="30"/>
      <c r="F19" s="30"/>
      <c r="G19" s="30"/>
      <c r="H19" s="30"/>
      <c r="I19" s="30"/>
      <c r="J19" s="30"/>
      <c r="K19" s="30"/>
    </row>
    <row r="20" spans="2:13" x14ac:dyDescent="0.2">
      <c r="C20" s="30"/>
      <c r="D20" s="30"/>
      <c r="E20" s="30"/>
      <c r="F20" s="30"/>
      <c r="G20" s="30"/>
      <c r="H20" s="30"/>
      <c r="I20" s="30"/>
      <c r="J20" s="30"/>
      <c r="K20" s="30"/>
    </row>
    <row r="21" spans="2:13" x14ac:dyDescent="0.2">
      <c r="B21" s="39" t="s">
        <v>123</v>
      </c>
    </row>
    <row r="22" spans="2:13" x14ac:dyDescent="0.2">
      <c r="B22" s="40" t="s">
        <v>125</v>
      </c>
    </row>
    <row r="23" spans="2:13" x14ac:dyDescent="0.2">
      <c r="B23" s="40" t="s">
        <v>126</v>
      </c>
    </row>
    <row r="24" spans="2:13" x14ac:dyDescent="0.2">
      <c r="B24" s="40" t="s">
        <v>127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H2 2023</vt:lpstr>
      <vt:lpstr>New PO for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Monroy</dc:creator>
  <cp:lastModifiedBy>Erhhung Yuan</cp:lastModifiedBy>
  <dcterms:created xsi:type="dcterms:W3CDTF">2022-09-02T16:14:07Z</dcterms:created>
  <dcterms:modified xsi:type="dcterms:W3CDTF">2023-05-19T14:33:55Z</dcterms:modified>
</cp:coreProperties>
</file>